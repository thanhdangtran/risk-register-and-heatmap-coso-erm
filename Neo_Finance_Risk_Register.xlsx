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Matrix" sheetId="2" state="visible" r:id="rId4"/>
    <sheet name="COSO Components" sheetId="3" state="visible" r:id="rId5"/>
    <sheet name="KRI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<sst xmlns="http://schemas.openxmlformats.org/spreadsheetml/2006/main" count="325" uniqueCount="215">
  <si>
    <t xml:space="preserve">Risk ID</t>
  </si>
  <si>
    <t xml:space="preserve">Risk Category</t>
  </si>
  <si>
    <t xml:space="preserve">Risk Description</t>
  </si>
  <si>
    <t xml:space="preserve">Risk Owner</t>
  </si>
  <si>
    <t xml:space="preserve">Inherent Prob</t>
  </si>
  <si>
    <t xml:space="preserve">Inherent Impact</t>
  </si>
  <si>
    <t xml:space="preserve">Inherent Score</t>
  </si>
  <si>
    <t xml:space="preserve">Current Controls</t>
  </si>
  <si>
    <t xml:space="preserve">Control Effectiveness</t>
  </si>
  <si>
    <t xml:space="preserve">Residual Prob</t>
  </si>
  <si>
    <t xml:space="preserve">Residual Impact</t>
  </si>
  <si>
    <t xml:space="preserve">Residual Score</t>
  </si>
  <si>
    <t xml:space="preserve">Risk Appetite</t>
  </si>
  <si>
    <t xml:space="preserve">Risk Status</t>
  </si>
  <si>
    <t xml:space="preserve">KRI</t>
  </si>
  <si>
    <t xml:space="preserve">Review Cycle</t>
  </si>
  <si>
    <t xml:space="preserve">COSO Component</t>
  </si>
  <si>
    <t xml:space="preserve">R001</t>
  </si>
  <si>
    <t xml:space="preserve">Credit Risk</t>
  </si>
  <si>
    <t xml:space="preserve">High default rate in thin-file customer segment (no credit history)</t>
  </si>
  <si>
    <t xml:space="preserve">Chief Credit Officer</t>
  </si>
  <si>
    <t xml:space="preserve">Basic credit scoring model, Manual review for high-risk</t>
  </si>
  <si>
    <t xml:space="preserve">Medium</t>
  </si>
  <si>
    <t xml:space="preserve">Medium (12-16)</t>
  </si>
  <si>
    <t xml:space="preserve">Above Appetite</t>
  </si>
  <si>
    <t xml:space="preserve">Default Rate &gt;8%</t>
  </si>
  <si>
    <t xml:space="preserve">Monthly</t>
  </si>
  <si>
    <t xml:space="preserve">Performance</t>
  </si>
  <si>
    <t xml:space="preserve">R002</t>
  </si>
  <si>
    <t xml:space="preserve">Over-reliance on alternative data (e-wallet, telco) with unproven predictive power</t>
  </si>
  <si>
    <t xml:space="preserve">Head of Data Science</t>
  </si>
  <si>
    <t xml:space="preserve">Alternative data validation, Backtesting framework</t>
  </si>
  <si>
    <t xml:space="preserve">Low-Medium (8-12)</t>
  </si>
  <si>
    <t xml:space="preserve">Within Appetite</t>
  </si>
  <si>
    <t xml:space="preserve">Alt-Data Gini &lt;0.55</t>
  </si>
  <si>
    <t xml:space="preserve">Strategy &amp; Objective-Setting</t>
  </si>
  <si>
    <t xml:space="preserve">R003</t>
  </si>
  <si>
    <t xml:space="preserve">Portfolio concentration risk in specific provinces (HCM, Hanoi)</t>
  </si>
  <si>
    <t xml:space="preserve">Geographic diversification strategy, Province limits</t>
  </si>
  <si>
    <t xml:space="preserve">High</t>
  </si>
  <si>
    <t xml:space="preserve">Low-Medium (6-12)</t>
  </si>
  <si>
    <t xml:space="preserve">Province Conc &gt;40%</t>
  </si>
  <si>
    <t xml:space="preserve">Quarterly</t>
  </si>
  <si>
    <t xml:space="preserve">R004</t>
  </si>
  <si>
    <t xml:space="preserve">Liquidity Risk</t>
  </si>
  <si>
    <t xml:space="preserve">Sudden funding withdrawal by institutional investors during crisis</t>
  </si>
  <si>
    <t xml:space="preserve">CFO/Treasurer</t>
  </si>
  <si>
    <t xml:space="preserve">Diversified funding sources, Liquidity buffer 15%</t>
  </si>
  <si>
    <t xml:space="preserve">Medium (10-15)</t>
  </si>
  <si>
    <t xml:space="preserve">LCR &lt;100%</t>
  </si>
  <si>
    <t xml:space="preserve">Weekly</t>
  </si>
  <si>
    <t xml:space="preserve">R005</t>
  </si>
  <si>
    <t xml:space="preserve">Operational Risk</t>
  </si>
  <si>
    <t xml:space="preserve">System downtime during peak disbursement hours (9-11am, 7-9pm)</t>
  </si>
  <si>
    <t xml:space="preserve">CTO</t>
  </si>
  <si>
    <t xml:space="preserve">99.9% SLA, AWS multi-AZ deployment, Auto-scaling</t>
  </si>
  <si>
    <t xml:space="preserve">Low (3-6)</t>
  </si>
  <si>
    <t xml:space="preserve">Uptime &lt;99.5%</t>
  </si>
  <si>
    <t xml:space="preserve">Daily</t>
  </si>
  <si>
    <t xml:space="preserve">R006</t>
  </si>
  <si>
    <t xml:space="preserve">Data pipeline failure causing delay in credit decisions</t>
  </si>
  <si>
    <t xml:space="preserve">Head of Data Engineering</t>
  </si>
  <si>
    <t xml:space="preserve">Real-time monitoring, Automated alerts, Backup pipeline</t>
  </si>
  <si>
    <t xml:space="preserve">Pipeline Lag &gt;30min</t>
  </si>
  <si>
    <t xml:space="preserve">Information, Communication &amp; Reporting</t>
  </si>
  <si>
    <t xml:space="preserve">R007</t>
  </si>
  <si>
    <t xml:space="preserve">Technology Risk</t>
  </si>
  <si>
    <t xml:space="preserve">AWS outage affecting loan disbursement capability</t>
  </si>
  <si>
    <t xml:space="preserve">Multi-region backup, DR plan tested quarterly</t>
  </si>
  <si>
    <t xml:space="preserve">Low-Medium (4-10)</t>
  </si>
  <si>
    <t xml:space="preserve">RTO &gt;4 hours</t>
  </si>
  <si>
    <t xml:space="preserve">R008</t>
  </si>
  <si>
    <t xml:space="preserve">ML model drift causing credit scoring inaccuracy</t>
  </si>
  <si>
    <t xml:space="preserve">Chief Data Architect</t>
  </si>
  <si>
    <t xml:space="preserve">Monthly model monitoring, A/B testing, Champion-challenger</t>
  </si>
  <si>
    <t xml:space="preserve">Model PSI &gt;0.25</t>
  </si>
  <si>
    <t xml:space="preserve">Review &amp; Revision</t>
  </si>
  <si>
    <t xml:space="preserve">R009</t>
  </si>
  <si>
    <t xml:space="preserve">Fraud Risk</t>
  </si>
  <si>
    <t xml:space="preserve">Identity theft using fake IDs and deepfake technology</t>
  </si>
  <si>
    <t xml:space="preserve">Head of Fraud Prevention</t>
  </si>
  <si>
    <t xml:space="preserve">eKYC with liveness detection, Device fingerprinting</t>
  </si>
  <si>
    <t xml:space="preserve">Medium (8-12)</t>
  </si>
  <si>
    <t xml:space="preserve">Fraud Rate &gt;2%</t>
  </si>
  <si>
    <t xml:space="preserve">Governance &amp; Culture</t>
  </si>
  <si>
    <t xml:space="preserve">R010</t>
  </si>
  <si>
    <t xml:space="preserve">Collusion between sales agents and customers for fraudulent loans</t>
  </si>
  <si>
    <t xml:space="preserve">Head of Internal Audit</t>
  </si>
  <si>
    <t xml:space="preserve">Agent behavior analytics, Random audits, Whistleblower hotline</t>
  </si>
  <si>
    <t xml:space="preserve">Agent Fraud &gt;5 cases/month</t>
  </si>
  <si>
    <t xml:space="preserve">R011</t>
  </si>
  <si>
    <t xml:space="preserve">Compliance Risk</t>
  </si>
  <si>
    <t xml:space="preserve">Non-compliance with SBV Circular 39/2016 on consumer lending limits</t>
  </si>
  <si>
    <t xml:space="preserve">Chief Compliance Officer</t>
  </si>
  <si>
    <t xml:space="preserve">Automated compliance checks, Legal review, SBV reporting</t>
  </si>
  <si>
    <t xml:space="preserve">SBV Violations &gt;0</t>
  </si>
  <si>
    <t xml:space="preserve">R012</t>
  </si>
  <si>
    <t xml:space="preserve">PDPA violations in customer data usage for ML training</t>
  </si>
  <si>
    <t xml:space="preserve">Chief Privacy Officer</t>
  </si>
  <si>
    <t xml:space="preserve">Data consent management, Privacy-by-design, DPO oversight</t>
  </si>
  <si>
    <t xml:space="preserve">PDPA Complaints &gt;5</t>
  </si>
  <si>
    <t xml:space="preserve">R013</t>
  </si>
  <si>
    <t xml:space="preserve">Model Risk</t>
  </si>
  <si>
    <t xml:space="preserve">Bias in credit model against underserved demographic groups</t>
  </si>
  <si>
    <t xml:space="preserve">Fairness testing, Bias metrics monitoring, Explainable AI</t>
  </si>
  <si>
    <t xml:space="preserve">Bias Metrics &gt;0.8</t>
  </si>
  <si>
    <t xml:space="preserve">R014</t>
  </si>
  <si>
    <t xml:space="preserve">Strategic Risk</t>
  </si>
  <si>
    <t xml:space="preserve">Failure to scale MoE architecture to handle 100K+ applications/day</t>
  </si>
  <si>
    <t xml:space="preserve">AWS SageMaker infrastructure, Load testing, Gradual rollout</t>
  </si>
  <si>
    <t xml:space="preserve">Medium (8-16)</t>
  </si>
  <si>
    <t xml:space="preserve">Throughput &lt;50K/day</t>
  </si>
  <si>
    <t xml:space="preserve">R015</t>
  </si>
  <si>
    <t xml:space="preserve">Reputation Risk</t>
  </si>
  <si>
    <t xml:space="preserve">Negative social media backlash from declined thin-file customers</t>
  </si>
  <si>
    <t xml:space="preserve">Chief Marketing Officer</t>
  </si>
  <si>
    <t xml:space="preserve">Customer education, Transparent decline reasons, Social monitoring</t>
  </si>
  <si>
    <t xml:space="preserve">Low (4-8)</t>
  </si>
  <si>
    <t xml:space="preserve">NPS &lt;30</t>
  </si>
  <si>
    <t xml:space="preserve">R016</t>
  </si>
  <si>
    <t xml:space="preserve">Market Risk</t>
  </si>
  <si>
    <t xml:space="preserve">Interest rate volatility affecting funding costs vs. lending rates</t>
  </si>
  <si>
    <t xml:space="preserve">CFO</t>
  </si>
  <si>
    <t xml:space="preserve">Interest rate hedging, Dynamic pricing model</t>
  </si>
  <si>
    <t xml:space="preserve">NIM &lt;4%</t>
  </si>
  <si>
    <t xml:space="preserve">R017</t>
  </si>
  <si>
    <t xml:space="preserve">Concentration Risk</t>
  </si>
  <si>
    <t xml:space="preserve">Over-dependence on single customer segment (gig economy workers)</t>
  </si>
  <si>
    <t xml:space="preserve">Segment diversification strategy, Product mix expansion</t>
  </si>
  <si>
    <t xml:space="preserve">Low</t>
  </si>
  <si>
    <t xml:space="preserve">Medium (9-15)</t>
  </si>
  <si>
    <t xml:space="preserve">At Appetite Limit</t>
  </si>
  <si>
    <t xml:space="preserve">Segment &gt;45%</t>
  </si>
  <si>
    <t xml:space="preserve">R018</t>
  </si>
  <si>
    <t xml:space="preserve">Third-party Risk</t>
  </si>
  <si>
    <t xml:space="preserve">Critical vendor failure (e-wallet, telco data provider)</t>
  </si>
  <si>
    <t xml:space="preserve">Chief Procurement Officer</t>
  </si>
  <si>
    <t xml:space="preserve">Multi-vendor strategy, SLA monitoring, Vendor audits</t>
  </si>
  <si>
    <t xml:space="preserve">Vendor SLA &lt;95%</t>
  </si>
  <si>
    <t xml:space="preserve">Risk Scoring Matrix</t>
  </si>
  <si>
    <t xml:space="preserve">Probability</t>
  </si>
  <si>
    <t xml:space="preserve">1 - Very Rare (&lt;10%)</t>
  </si>
  <si>
    <t xml:space="preserve">Impact</t>
  </si>
  <si>
    <t xml:space="preserve">1 - Negligible (&lt;10M VND)</t>
  </si>
  <si>
    <t xml:space="preserve">2 - Unlikely (10-25%)</t>
  </si>
  <si>
    <t xml:space="preserve">2 - Minor (10-50M VND)</t>
  </si>
  <si>
    <t xml:space="preserve">3 - Possible (25-50%)</t>
  </si>
  <si>
    <t xml:space="preserve">3 - Moderate (50-200M VND)</t>
  </si>
  <si>
    <t xml:space="preserve">4 - Likely (50-75%)</t>
  </si>
  <si>
    <t xml:space="preserve">4 - Major (200-500M VND)</t>
  </si>
  <si>
    <t xml:space="preserve">5 - Very Likely (&gt;75%)</t>
  </si>
  <si>
    <t xml:space="preserve">5 - Catastrophic (&gt;500M VND)</t>
  </si>
  <si>
    <t xml:space="preserve">Risk Score Interpretation</t>
  </si>
  <si>
    <t xml:space="preserve">1-6: Low Risk (Green)</t>
  </si>
  <si>
    <t xml:space="preserve">7-12: Medium Risk (Yellow)</t>
  </si>
  <si>
    <t xml:space="preserve">13-20: High Risk (Orange)</t>
  </si>
  <si>
    <t xml:space="preserve">21-25: Critical Risk (Red)</t>
  </si>
  <si>
    <t xml:space="preserve">COSO ERM 2017 - Five Components Mapping</t>
  </si>
  <si>
    <t xml:space="preserve">Component</t>
  </si>
  <si>
    <t xml:space="preserve">Description</t>
  </si>
  <si>
    <t xml:space="preserve">Neo Finance Application</t>
  </si>
  <si>
    <t xml:space="preserve">Related Risks</t>
  </si>
  <si>
    <t xml:space="preserve">Board oversight, risk appetite, ethical values, tone at top</t>
  </si>
  <si>
    <t xml:space="preserve">Board Risk Committee meets quarterly. Risk appetite: NPL &lt;4%, ROE &gt;15%. Code of Conduct training mandatory.</t>
  </si>
  <si>
    <t xml:space="preserve">R009, R010, R011, R012, R018</t>
  </si>
  <si>
    <t xml:space="preserve">Integrate risk into strategic planning and business objectives</t>
  </si>
  <si>
    <t xml:space="preserve">Strategic goal: Serve 5M thin-file customers by 2026. Risk-adjusted pricing. Target underserved segments.</t>
  </si>
  <si>
    <t xml:space="preserve">R002, R014, R017</t>
  </si>
  <si>
    <t xml:space="preserve">Identify, assess, prioritize, and respond to risks</t>
  </si>
  <si>
    <t xml:space="preserve">Monthly risk dashboard. Credit risk: 18 risks tracked. KRI monitoring. Stress testing quarterly.</t>
  </si>
  <si>
    <t xml:space="preserve">R001, R003, R004, R005, R007, R016</t>
  </si>
  <si>
    <t xml:space="preserve">Monitor risk profile changes, evaluate ERM effectiveness</t>
  </si>
  <si>
    <t xml:space="preserve">Quarterly risk review. Model validation annually. Control testing. Risk register updated monthly.</t>
  </si>
  <si>
    <t xml:space="preserve">R008, R013</t>
  </si>
  <si>
    <t xml:space="preserve">Risk data quality, reporting to stakeholders, escalation</t>
  </si>
  <si>
    <t xml:space="preserve">Real-time risk dashboard for C-suite. Monthly Board risk report. Incident escalation protocol &lt;4 hours.</t>
  </si>
  <si>
    <t xml:space="preserve">R006, R015</t>
  </si>
  <si>
    <t xml:space="preserve">Key Risk Indicators (KRI) - Monthly Monitoring</t>
  </si>
  <si>
    <t xml:space="preserve">KRI Name</t>
  </si>
  <si>
    <t xml:space="preserve">Current Value</t>
  </si>
  <si>
    <t xml:space="preserve">Threshold</t>
  </si>
  <si>
    <t xml:space="preserve">Status</t>
  </si>
  <si>
    <t xml:space="preserve">Trend</t>
  </si>
  <si>
    <t xml:space="preserve">Default Rate</t>
  </si>
  <si>
    <t xml:space="preserve">6.8%</t>
  </si>
  <si>
    <t xml:space="preserve">&lt;8%</t>
  </si>
  <si>
    <t xml:space="preserve">Green</t>
  </si>
  <si>
    <t xml:space="preserve">Stable</t>
  </si>
  <si>
    <t xml:space="preserve">Alt-Data Gini</t>
  </si>
  <si>
    <t xml:space="preserve">0.58</t>
  </si>
  <si>
    <t xml:space="preserve">&gt;0.55</t>
  </si>
  <si>
    <t xml:space="preserve">Improving</t>
  </si>
  <si>
    <t xml:space="preserve">Liquidity Coverage Ratio</t>
  </si>
  <si>
    <t xml:space="preserve">135%</t>
  </si>
  <si>
    <t xml:space="preserve">&gt;100%</t>
  </si>
  <si>
    <t xml:space="preserve">System Uptime</t>
  </si>
  <si>
    <t xml:space="preserve">99.8%</t>
  </si>
  <si>
    <t xml:space="preserve">&gt;99.5%</t>
  </si>
  <si>
    <t xml:space="preserve">Model PSI</t>
  </si>
  <si>
    <t xml:space="preserve">0.18</t>
  </si>
  <si>
    <t xml:space="preserve">&lt;0.25</t>
  </si>
  <si>
    <t xml:space="preserve">Fraud Rate</t>
  </si>
  <si>
    <t xml:space="preserve">1.2%</t>
  </si>
  <si>
    <t xml:space="preserve">&lt;2%</t>
  </si>
  <si>
    <t xml:space="preserve">SBV Violations</t>
  </si>
  <si>
    <t xml:space="preserve">0</t>
  </si>
  <si>
    <t xml:space="preserve">Processing Throughput</t>
  </si>
  <si>
    <t xml:space="preserve">65,000/day</t>
  </si>
  <si>
    <t xml:space="preserve">&gt;50K/day</t>
  </si>
  <si>
    <t xml:space="preserve">Net Promoter Score</t>
  </si>
  <si>
    <t xml:space="preserve">42</t>
  </si>
  <si>
    <t xml:space="preserve">&gt;30</t>
  </si>
  <si>
    <t xml:space="preserve">Net Interest Margin</t>
  </si>
  <si>
    <t xml:space="preserve">6.2%</t>
  </si>
  <si>
    <t xml:space="preserve">&gt;4%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</si>
</sst>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7" min="5" style="0" width="1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5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25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2" t="s">
        <v>17</v>
      </c>
      <c r="B2" s="3" t="s">
        <v>18</v>
      </c>
      <c r="C2" s="3" t="s">
        <v>19</v>
      </c>
      <c r="D2" s="2" t="s">
        <v>20</v>
      </c>
      <c r="E2" s="4" t="n">
        <v>4</v>
      </c>
      <c r="F2" s="4" t="n">
        <v>5</v>
      </c>
      <c r="G2" s="2" t="n">
        <f aca="false">E2*F2</f>
        <v>20</v>
      </c>
      <c r="H2" s="3" t="s">
        <v>21</v>
      </c>
      <c r="I2" s="2" t="s">
        <v>22</v>
      </c>
      <c r="J2" s="4" t="n">
        <v>3</v>
      </c>
      <c r="K2" s="4" t="n">
        <v>4</v>
      </c>
      <c r="L2" s="2" t="n">
        <f aca="false">J2*K2</f>
        <v>12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</row>
    <row r="3" customFormat="false" ht="23.85" hidden="false" customHeight="false" outlineLevel="0" collapsed="false">
      <c r="A3" s="2" t="s">
        <v>28</v>
      </c>
      <c r="B3" s="3" t="s">
        <v>18</v>
      </c>
      <c r="C3" s="3" t="s">
        <v>29</v>
      </c>
      <c r="D3" s="2" t="s">
        <v>30</v>
      </c>
      <c r="E3" s="4" t="n">
        <v>3</v>
      </c>
      <c r="F3" s="4" t="n">
        <v>4</v>
      </c>
      <c r="G3" s="2" t="n">
        <f aca="false">E3*F3</f>
        <v>12</v>
      </c>
      <c r="H3" s="3" t="s">
        <v>31</v>
      </c>
      <c r="I3" s="2" t="s">
        <v>22</v>
      </c>
      <c r="J3" s="4" t="n">
        <v>2</v>
      </c>
      <c r="K3" s="4" t="n">
        <v>4</v>
      </c>
      <c r="L3" s="2" t="n">
        <f aca="false">J3*K3</f>
        <v>8</v>
      </c>
      <c r="M3" s="2" t="s">
        <v>32</v>
      </c>
      <c r="N3" s="2" t="s">
        <v>33</v>
      </c>
      <c r="O3" s="2" t="s">
        <v>34</v>
      </c>
      <c r="P3" s="2" t="s">
        <v>26</v>
      </c>
      <c r="Q3" s="2" t="s">
        <v>35</v>
      </c>
    </row>
    <row r="4" customFormat="false" ht="23.85" hidden="false" customHeight="false" outlineLevel="0" collapsed="false">
      <c r="A4" s="2" t="s">
        <v>36</v>
      </c>
      <c r="B4" s="3" t="s">
        <v>18</v>
      </c>
      <c r="C4" s="3" t="s">
        <v>37</v>
      </c>
      <c r="D4" s="2" t="s">
        <v>20</v>
      </c>
      <c r="E4" s="4" t="n">
        <v>3</v>
      </c>
      <c r="F4" s="4" t="n">
        <v>3</v>
      </c>
      <c r="G4" s="2" t="n">
        <f aca="false">E4*F4</f>
        <v>9</v>
      </c>
      <c r="H4" s="3" t="s">
        <v>38</v>
      </c>
      <c r="I4" s="2" t="s">
        <v>39</v>
      </c>
      <c r="J4" s="4" t="n">
        <v>2</v>
      </c>
      <c r="K4" s="4" t="n">
        <v>3</v>
      </c>
      <c r="L4" s="2" t="n">
        <f aca="false">J4*K4</f>
        <v>6</v>
      </c>
      <c r="M4" s="2" t="s">
        <v>40</v>
      </c>
      <c r="N4" s="2" t="s">
        <v>33</v>
      </c>
      <c r="O4" s="2" t="s">
        <v>41</v>
      </c>
      <c r="P4" s="2" t="s">
        <v>42</v>
      </c>
      <c r="Q4" s="2" t="s">
        <v>27</v>
      </c>
    </row>
    <row r="5" customFormat="false" ht="23.85" hidden="false" customHeight="false" outlineLevel="0" collapsed="false">
      <c r="A5" s="2" t="s">
        <v>43</v>
      </c>
      <c r="B5" s="3" t="s">
        <v>44</v>
      </c>
      <c r="C5" s="3" t="s">
        <v>45</v>
      </c>
      <c r="D5" s="2" t="s">
        <v>46</v>
      </c>
      <c r="E5" s="4" t="n">
        <v>2</v>
      </c>
      <c r="F5" s="4" t="n">
        <v>5</v>
      </c>
      <c r="G5" s="2" t="n">
        <f aca="false">E5*F5</f>
        <v>10</v>
      </c>
      <c r="H5" s="3" t="s">
        <v>47</v>
      </c>
      <c r="I5" s="2" t="s">
        <v>39</v>
      </c>
      <c r="J5" s="4" t="n">
        <v>1</v>
      </c>
      <c r="K5" s="4" t="n">
        <v>5</v>
      </c>
      <c r="L5" s="2" t="n">
        <f aca="false">J5*K5</f>
        <v>5</v>
      </c>
      <c r="M5" s="2" t="s">
        <v>48</v>
      </c>
      <c r="N5" s="2" t="s">
        <v>33</v>
      </c>
      <c r="O5" s="2" t="s">
        <v>49</v>
      </c>
      <c r="P5" s="2" t="s">
        <v>50</v>
      </c>
      <c r="Q5" s="2" t="s">
        <v>27</v>
      </c>
    </row>
    <row r="6" customFormat="false" ht="23.85" hidden="false" customHeight="false" outlineLevel="0" collapsed="false">
      <c r="A6" s="2" t="s">
        <v>51</v>
      </c>
      <c r="B6" s="3" t="s">
        <v>52</v>
      </c>
      <c r="C6" s="3" t="s">
        <v>53</v>
      </c>
      <c r="D6" s="2" t="s">
        <v>54</v>
      </c>
      <c r="E6" s="4" t="n">
        <v>3</v>
      </c>
      <c r="F6" s="4" t="n">
        <v>4</v>
      </c>
      <c r="G6" s="2" t="n">
        <f aca="false">E6*F6</f>
        <v>12</v>
      </c>
      <c r="H6" s="3" t="s">
        <v>55</v>
      </c>
      <c r="I6" s="2" t="s">
        <v>39</v>
      </c>
      <c r="J6" s="4" t="n">
        <v>1</v>
      </c>
      <c r="K6" s="4" t="n">
        <v>3</v>
      </c>
      <c r="L6" s="2" t="n">
        <f aca="false">J6*K6</f>
        <v>3</v>
      </c>
      <c r="M6" s="2" t="s">
        <v>56</v>
      </c>
      <c r="N6" s="2" t="s">
        <v>33</v>
      </c>
      <c r="O6" s="2" t="s">
        <v>57</v>
      </c>
      <c r="P6" s="2" t="s">
        <v>58</v>
      </c>
      <c r="Q6" s="2" t="s">
        <v>27</v>
      </c>
    </row>
    <row r="7" customFormat="false" ht="23.85" hidden="false" customHeight="false" outlineLevel="0" collapsed="false">
      <c r="A7" s="2" t="s">
        <v>59</v>
      </c>
      <c r="B7" s="3" t="s">
        <v>52</v>
      </c>
      <c r="C7" s="3" t="s">
        <v>60</v>
      </c>
      <c r="D7" s="2" t="s">
        <v>61</v>
      </c>
      <c r="E7" s="4" t="n">
        <v>3</v>
      </c>
      <c r="F7" s="4" t="n">
        <v>3</v>
      </c>
      <c r="G7" s="2" t="n">
        <f aca="false">E7*F7</f>
        <v>9</v>
      </c>
      <c r="H7" s="3" t="s">
        <v>62</v>
      </c>
      <c r="I7" s="2" t="s">
        <v>22</v>
      </c>
      <c r="J7" s="4" t="n">
        <v>2</v>
      </c>
      <c r="K7" s="4" t="n">
        <v>3</v>
      </c>
      <c r="L7" s="2" t="n">
        <f aca="false">J7*K7</f>
        <v>6</v>
      </c>
      <c r="M7" s="2" t="s">
        <v>40</v>
      </c>
      <c r="N7" s="2" t="s">
        <v>33</v>
      </c>
      <c r="O7" s="2" t="s">
        <v>63</v>
      </c>
      <c r="P7" s="2" t="s">
        <v>58</v>
      </c>
      <c r="Q7" s="2" t="s">
        <v>64</v>
      </c>
    </row>
    <row r="8" customFormat="false" ht="23.85" hidden="false" customHeight="false" outlineLevel="0" collapsed="false">
      <c r="A8" s="2" t="s">
        <v>65</v>
      </c>
      <c r="B8" s="3" t="s">
        <v>66</v>
      </c>
      <c r="C8" s="3" t="s">
        <v>67</v>
      </c>
      <c r="D8" s="2" t="s">
        <v>54</v>
      </c>
      <c r="E8" s="4" t="n">
        <v>2</v>
      </c>
      <c r="F8" s="4" t="n">
        <v>5</v>
      </c>
      <c r="G8" s="2" t="n">
        <f aca="false">E8*F8</f>
        <v>10</v>
      </c>
      <c r="H8" s="3" t="s">
        <v>68</v>
      </c>
      <c r="I8" s="2" t="s">
        <v>39</v>
      </c>
      <c r="J8" s="4" t="n">
        <v>1</v>
      </c>
      <c r="K8" s="4" t="n">
        <v>4</v>
      </c>
      <c r="L8" s="2" t="n">
        <f aca="false">J8*K8</f>
        <v>4</v>
      </c>
      <c r="M8" s="2" t="s">
        <v>69</v>
      </c>
      <c r="N8" s="2" t="s">
        <v>33</v>
      </c>
      <c r="O8" s="2" t="s">
        <v>70</v>
      </c>
      <c r="P8" s="2" t="s">
        <v>42</v>
      </c>
      <c r="Q8" s="2" t="s">
        <v>27</v>
      </c>
    </row>
    <row r="9" customFormat="false" ht="23.85" hidden="false" customHeight="false" outlineLevel="0" collapsed="false">
      <c r="A9" s="2" t="s">
        <v>71</v>
      </c>
      <c r="B9" s="3" t="s">
        <v>66</v>
      </c>
      <c r="C9" s="3" t="s">
        <v>72</v>
      </c>
      <c r="D9" s="2" t="s">
        <v>73</v>
      </c>
      <c r="E9" s="4" t="n">
        <v>4</v>
      </c>
      <c r="F9" s="4" t="n">
        <v>4</v>
      </c>
      <c r="G9" s="2" t="n">
        <f aca="false">E9*F9</f>
        <v>16</v>
      </c>
      <c r="H9" s="3" t="s">
        <v>74</v>
      </c>
      <c r="I9" s="2" t="s">
        <v>22</v>
      </c>
      <c r="J9" s="4" t="n">
        <v>2</v>
      </c>
      <c r="K9" s="4" t="n">
        <v>3</v>
      </c>
      <c r="L9" s="2" t="n">
        <f aca="false">J9*K9</f>
        <v>6</v>
      </c>
      <c r="M9" s="2" t="s">
        <v>40</v>
      </c>
      <c r="N9" s="2" t="s">
        <v>33</v>
      </c>
      <c r="O9" s="2" t="s">
        <v>75</v>
      </c>
      <c r="P9" s="2" t="s">
        <v>26</v>
      </c>
      <c r="Q9" s="2" t="s">
        <v>76</v>
      </c>
    </row>
    <row r="10" customFormat="false" ht="23.85" hidden="false" customHeight="false" outlineLevel="0" collapsed="false">
      <c r="A10" s="2" t="s">
        <v>77</v>
      </c>
      <c r="B10" s="3" t="s">
        <v>78</v>
      </c>
      <c r="C10" s="3" t="s">
        <v>79</v>
      </c>
      <c r="D10" s="2" t="s">
        <v>80</v>
      </c>
      <c r="E10" s="4" t="n">
        <v>4</v>
      </c>
      <c r="F10" s="4" t="n">
        <v>5</v>
      </c>
      <c r="G10" s="2" t="n">
        <f aca="false">E10*F10</f>
        <v>20</v>
      </c>
      <c r="H10" s="3" t="s">
        <v>81</v>
      </c>
      <c r="I10" s="2" t="s">
        <v>22</v>
      </c>
      <c r="J10" s="4" t="n">
        <v>2</v>
      </c>
      <c r="K10" s="4" t="n">
        <v>4</v>
      </c>
      <c r="L10" s="2" t="n">
        <f aca="false">J10*K10</f>
        <v>8</v>
      </c>
      <c r="M10" s="2" t="s">
        <v>82</v>
      </c>
      <c r="N10" s="2" t="s">
        <v>33</v>
      </c>
      <c r="O10" s="2" t="s">
        <v>83</v>
      </c>
      <c r="P10" s="2" t="s">
        <v>50</v>
      </c>
      <c r="Q10" s="2" t="s">
        <v>84</v>
      </c>
    </row>
    <row r="11" customFormat="false" ht="23.85" hidden="false" customHeight="false" outlineLevel="0" collapsed="false">
      <c r="A11" s="2" t="s">
        <v>85</v>
      </c>
      <c r="B11" s="3" t="s">
        <v>78</v>
      </c>
      <c r="C11" s="3" t="s">
        <v>86</v>
      </c>
      <c r="D11" s="2" t="s">
        <v>87</v>
      </c>
      <c r="E11" s="4" t="n">
        <v>3</v>
      </c>
      <c r="F11" s="4" t="n">
        <v>4</v>
      </c>
      <c r="G11" s="2" t="n">
        <f aca="false">E11*F11</f>
        <v>12</v>
      </c>
      <c r="H11" s="3" t="s">
        <v>88</v>
      </c>
      <c r="I11" s="2" t="s">
        <v>22</v>
      </c>
      <c r="J11" s="4" t="n">
        <v>2</v>
      </c>
      <c r="K11" s="4" t="n">
        <v>3</v>
      </c>
      <c r="L11" s="2" t="n">
        <f aca="false">J11*K11</f>
        <v>6</v>
      </c>
      <c r="M11" s="2" t="s">
        <v>40</v>
      </c>
      <c r="N11" s="2" t="s">
        <v>33</v>
      </c>
      <c r="O11" s="2" t="s">
        <v>89</v>
      </c>
      <c r="P11" s="2" t="s">
        <v>26</v>
      </c>
      <c r="Q11" s="2" t="s">
        <v>84</v>
      </c>
    </row>
    <row r="12" customFormat="false" ht="23.85" hidden="false" customHeight="false" outlineLevel="0" collapsed="false">
      <c r="A12" s="2" t="s">
        <v>90</v>
      </c>
      <c r="B12" s="3" t="s">
        <v>91</v>
      </c>
      <c r="C12" s="3" t="s">
        <v>92</v>
      </c>
      <c r="D12" s="2" t="s">
        <v>93</v>
      </c>
      <c r="E12" s="4" t="n">
        <v>2</v>
      </c>
      <c r="F12" s="4" t="n">
        <v>5</v>
      </c>
      <c r="G12" s="2" t="n">
        <f aca="false">E12*F12</f>
        <v>10</v>
      </c>
      <c r="H12" s="3" t="s">
        <v>94</v>
      </c>
      <c r="I12" s="2" t="s">
        <v>39</v>
      </c>
      <c r="J12" s="4" t="n">
        <v>1</v>
      </c>
      <c r="K12" s="4" t="n">
        <v>4</v>
      </c>
      <c r="L12" s="2" t="n">
        <f aca="false">J12*K12</f>
        <v>4</v>
      </c>
      <c r="M12" s="2" t="s">
        <v>69</v>
      </c>
      <c r="N12" s="2" t="s">
        <v>33</v>
      </c>
      <c r="O12" s="2" t="s">
        <v>95</v>
      </c>
      <c r="P12" s="2" t="s">
        <v>42</v>
      </c>
      <c r="Q12" s="2" t="s">
        <v>84</v>
      </c>
    </row>
    <row r="13" customFormat="false" ht="23.85" hidden="false" customHeight="false" outlineLevel="0" collapsed="false">
      <c r="A13" s="2" t="s">
        <v>96</v>
      </c>
      <c r="B13" s="3" t="s">
        <v>91</v>
      </c>
      <c r="C13" s="3" t="s">
        <v>97</v>
      </c>
      <c r="D13" s="2" t="s">
        <v>98</v>
      </c>
      <c r="E13" s="4" t="n">
        <v>3</v>
      </c>
      <c r="F13" s="4" t="n">
        <v>4</v>
      </c>
      <c r="G13" s="2" t="n">
        <f aca="false">E13*F13</f>
        <v>12</v>
      </c>
      <c r="H13" s="3" t="s">
        <v>99</v>
      </c>
      <c r="I13" s="2" t="s">
        <v>39</v>
      </c>
      <c r="J13" s="4" t="n">
        <v>1</v>
      </c>
      <c r="K13" s="4" t="n">
        <v>3</v>
      </c>
      <c r="L13" s="2" t="n">
        <f aca="false">J13*K13</f>
        <v>3</v>
      </c>
      <c r="M13" s="2" t="s">
        <v>56</v>
      </c>
      <c r="N13" s="2" t="s">
        <v>33</v>
      </c>
      <c r="O13" s="2" t="s">
        <v>100</v>
      </c>
      <c r="P13" s="2" t="s">
        <v>26</v>
      </c>
      <c r="Q13" s="2" t="s">
        <v>84</v>
      </c>
    </row>
    <row r="14" customFormat="false" ht="23.85" hidden="false" customHeight="false" outlineLevel="0" collapsed="false">
      <c r="A14" s="2" t="s">
        <v>101</v>
      </c>
      <c r="B14" s="3" t="s">
        <v>102</v>
      </c>
      <c r="C14" s="3" t="s">
        <v>103</v>
      </c>
      <c r="D14" s="2" t="s">
        <v>73</v>
      </c>
      <c r="E14" s="4" t="n">
        <v>3</v>
      </c>
      <c r="F14" s="4" t="n">
        <v>4</v>
      </c>
      <c r="G14" s="2" t="n">
        <f aca="false">E14*F14</f>
        <v>12</v>
      </c>
      <c r="H14" s="3" t="s">
        <v>104</v>
      </c>
      <c r="I14" s="2" t="s">
        <v>22</v>
      </c>
      <c r="J14" s="4" t="n">
        <v>2</v>
      </c>
      <c r="K14" s="4" t="n">
        <v>3</v>
      </c>
      <c r="L14" s="2" t="n">
        <f aca="false">J14*K14</f>
        <v>6</v>
      </c>
      <c r="M14" s="2" t="s">
        <v>40</v>
      </c>
      <c r="N14" s="2" t="s">
        <v>33</v>
      </c>
      <c r="O14" s="2" t="s">
        <v>105</v>
      </c>
      <c r="P14" s="2" t="s">
        <v>42</v>
      </c>
      <c r="Q14" s="2" t="s">
        <v>76</v>
      </c>
    </row>
    <row r="15" customFormat="false" ht="23.85" hidden="false" customHeight="false" outlineLevel="0" collapsed="false">
      <c r="A15" s="2" t="s">
        <v>106</v>
      </c>
      <c r="B15" s="3" t="s">
        <v>107</v>
      </c>
      <c r="C15" s="3" t="s">
        <v>108</v>
      </c>
      <c r="D15" s="2" t="s">
        <v>73</v>
      </c>
      <c r="E15" s="4" t="n">
        <v>3</v>
      </c>
      <c r="F15" s="4" t="n">
        <v>5</v>
      </c>
      <c r="G15" s="2" t="n">
        <f aca="false">E15*F15</f>
        <v>15</v>
      </c>
      <c r="H15" s="3" t="s">
        <v>109</v>
      </c>
      <c r="I15" s="2" t="s">
        <v>22</v>
      </c>
      <c r="J15" s="4" t="n">
        <v>2</v>
      </c>
      <c r="K15" s="4" t="n">
        <v>4</v>
      </c>
      <c r="L15" s="2" t="n">
        <f aca="false">J15*K15</f>
        <v>8</v>
      </c>
      <c r="M15" s="2" t="s">
        <v>110</v>
      </c>
      <c r="N15" s="2" t="s">
        <v>33</v>
      </c>
      <c r="O15" s="2" t="s">
        <v>111</v>
      </c>
      <c r="P15" s="2" t="s">
        <v>26</v>
      </c>
      <c r="Q15" s="2" t="s">
        <v>35</v>
      </c>
    </row>
    <row r="16" customFormat="false" ht="23.85" hidden="false" customHeight="false" outlineLevel="0" collapsed="false">
      <c r="A16" s="2" t="s">
        <v>112</v>
      </c>
      <c r="B16" s="3" t="s">
        <v>113</v>
      </c>
      <c r="C16" s="3" t="s">
        <v>114</v>
      </c>
      <c r="D16" s="2" t="s">
        <v>115</v>
      </c>
      <c r="E16" s="4" t="n">
        <v>4</v>
      </c>
      <c r="F16" s="4" t="n">
        <v>3</v>
      </c>
      <c r="G16" s="2" t="n">
        <f aca="false">E16*F16</f>
        <v>12</v>
      </c>
      <c r="H16" s="3" t="s">
        <v>116</v>
      </c>
      <c r="I16" s="2" t="s">
        <v>22</v>
      </c>
      <c r="J16" s="4" t="n">
        <v>2</v>
      </c>
      <c r="K16" s="4" t="n">
        <v>2</v>
      </c>
      <c r="L16" s="2" t="n">
        <f aca="false">J16*K16</f>
        <v>4</v>
      </c>
      <c r="M16" s="2" t="s">
        <v>117</v>
      </c>
      <c r="N16" s="2" t="s">
        <v>33</v>
      </c>
      <c r="O16" s="2" t="s">
        <v>118</v>
      </c>
      <c r="P16" s="2" t="s">
        <v>26</v>
      </c>
      <c r="Q16" s="2" t="s">
        <v>64</v>
      </c>
    </row>
    <row r="17" customFormat="false" ht="23.85" hidden="false" customHeight="false" outlineLevel="0" collapsed="false">
      <c r="A17" s="2" t="s">
        <v>119</v>
      </c>
      <c r="B17" s="3" t="s">
        <v>120</v>
      </c>
      <c r="C17" s="3" t="s">
        <v>121</v>
      </c>
      <c r="D17" s="2" t="s">
        <v>122</v>
      </c>
      <c r="E17" s="4" t="n">
        <v>3</v>
      </c>
      <c r="F17" s="4" t="n">
        <v>4</v>
      </c>
      <c r="G17" s="2" t="n">
        <f aca="false">E17*F17</f>
        <v>12</v>
      </c>
      <c r="H17" s="3" t="s">
        <v>123</v>
      </c>
      <c r="I17" s="2" t="s">
        <v>22</v>
      </c>
      <c r="J17" s="4" t="n">
        <v>2</v>
      </c>
      <c r="K17" s="4" t="n">
        <v>3</v>
      </c>
      <c r="L17" s="2" t="n">
        <f aca="false">J17*K17</f>
        <v>6</v>
      </c>
      <c r="M17" s="2" t="s">
        <v>40</v>
      </c>
      <c r="N17" s="2" t="s">
        <v>33</v>
      </c>
      <c r="O17" s="2" t="s">
        <v>124</v>
      </c>
      <c r="P17" s="2" t="s">
        <v>26</v>
      </c>
      <c r="Q17" s="2" t="s">
        <v>27</v>
      </c>
    </row>
    <row r="18" customFormat="false" ht="23.85" hidden="false" customHeight="false" outlineLevel="0" collapsed="false">
      <c r="A18" s="2" t="s">
        <v>125</v>
      </c>
      <c r="B18" s="3" t="s">
        <v>126</v>
      </c>
      <c r="C18" s="3" t="s">
        <v>127</v>
      </c>
      <c r="D18" s="2" t="s">
        <v>20</v>
      </c>
      <c r="E18" s="4" t="n">
        <v>4</v>
      </c>
      <c r="F18" s="4" t="n">
        <v>3</v>
      </c>
      <c r="G18" s="2" t="n">
        <f aca="false">E18*F18</f>
        <v>12</v>
      </c>
      <c r="H18" s="3" t="s">
        <v>128</v>
      </c>
      <c r="I18" s="2" t="s">
        <v>129</v>
      </c>
      <c r="J18" s="4" t="n">
        <v>3</v>
      </c>
      <c r="K18" s="4" t="n">
        <v>3</v>
      </c>
      <c r="L18" s="2" t="n">
        <f aca="false">J18*K18</f>
        <v>9</v>
      </c>
      <c r="M18" s="2" t="s">
        <v>130</v>
      </c>
      <c r="N18" s="2" t="s">
        <v>131</v>
      </c>
      <c r="O18" s="2" t="s">
        <v>132</v>
      </c>
      <c r="P18" s="2" t="s">
        <v>42</v>
      </c>
      <c r="Q18" s="2" t="s">
        <v>35</v>
      </c>
    </row>
    <row r="19" customFormat="false" ht="23.85" hidden="false" customHeight="false" outlineLevel="0" collapsed="false">
      <c r="A19" s="2" t="s">
        <v>133</v>
      </c>
      <c r="B19" s="3" t="s">
        <v>134</v>
      </c>
      <c r="C19" s="3" t="s">
        <v>135</v>
      </c>
      <c r="D19" s="2" t="s">
        <v>136</v>
      </c>
      <c r="E19" s="4" t="n">
        <v>2</v>
      </c>
      <c r="F19" s="4" t="n">
        <v>4</v>
      </c>
      <c r="G19" s="2" t="n">
        <f aca="false">E19*F19</f>
        <v>8</v>
      </c>
      <c r="H19" s="3" t="s">
        <v>137</v>
      </c>
      <c r="I19" s="2" t="s">
        <v>39</v>
      </c>
      <c r="J19" s="4" t="n">
        <v>1</v>
      </c>
      <c r="K19" s="4" t="n">
        <v>3</v>
      </c>
      <c r="L19" s="2" t="n">
        <f aca="false">J19*K19</f>
        <v>3</v>
      </c>
      <c r="M19" s="2" t="s">
        <v>56</v>
      </c>
      <c r="N19" s="2" t="s">
        <v>33</v>
      </c>
      <c r="O19" s="2" t="s">
        <v>138</v>
      </c>
      <c r="P19" s="2" t="s">
        <v>26</v>
      </c>
      <c r="Q19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139</v>
      </c>
    </row>
    <row r="3" customFormat="false" ht="15" hidden="false" customHeight="false" outlineLevel="0" collapsed="false">
      <c r="A3" s="6" t="s">
        <v>140</v>
      </c>
      <c r="B3" s="7" t="s">
        <v>141</v>
      </c>
      <c r="D3" s="6" t="s">
        <v>142</v>
      </c>
      <c r="E3" s="7" t="s">
        <v>143</v>
      </c>
    </row>
    <row r="4" customFormat="false" ht="15" hidden="false" customHeight="false" outlineLevel="0" collapsed="false">
      <c r="B4" s="0" t="s">
        <v>144</v>
      </c>
      <c r="E4" s="0" t="s">
        <v>145</v>
      </c>
    </row>
    <row r="5" customFormat="false" ht="15" hidden="false" customHeight="false" outlineLevel="0" collapsed="false">
      <c r="B5" s="0" t="s">
        <v>146</v>
      </c>
      <c r="E5" s="0" t="s">
        <v>147</v>
      </c>
    </row>
    <row r="6" customFormat="false" ht="15" hidden="false" customHeight="false" outlineLevel="0" collapsed="false">
      <c r="B6" s="0" t="s">
        <v>148</v>
      </c>
      <c r="E6" s="0" t="s">
        <v>149</v>
      </c>
    </row>
    <row r="7" customFormat="false" ht="15" hidden="false" customHeight="false" outlineLevel="0" collapsed="false">
      <c r="B7" s="0" t="s">
        <v>150</v>
      </c>
      <c r="E7" s="0" t="s">
        <v>151</v>
      </c>
    </row>
    <row r="10" customFormat="false" ht="15" hidden="false" customHeight="false" outlineLevel="0" collapsed="false">
      <c r="A10" s="8" t="s">
        <v>152</v>
      </c>
    </row>
    <row r="11" customFormat="false" ht="15" hidden="false" customHeight="false" outlineLevel="0" collapsed="false">
      <c r="A11" s="9"/>
      <c r="B11" s="7" t="s">
        <v>153</v>
      </c>
    </row>
    <row r="12" customFormat="false" ht="15" hidden="false" customHeight="false" outlineLevel="0" collapsed="false">
      <c r="A12" s="10"/>
      <c r="B12" s="7" t="s">
        <v>154</v>
      </c>
    </row>
    <row r="13" customFormat="false" ht="15" hidden="false" customHeight="false" outlineLevel="0" collapsed="false">
      <c r="A13" s="11"/>
      <c r="B13" s="7" t="s">
        <v>155</v>
      </c>
    </row>
    <row r="14" customFormat="false" ht="15" hidden="false" customHeight="false" outlineLevel="0" collapsed="false">
      <c r="A14" s="12"/>
      <c r="B14" s="7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3" t="s">
        <v>157</v>
      </c>
      <c r="B1" s="13"/>
      <c r="C1" s="13"/>
      <c r="D1" s="13"/>
    </row>
    <row r="2" customFormat="false" ht="15" hidden="false" customHeight="false" outlineLevel="0" collapsed="false">
      <c r="A2" s="14" t="s">
        <v>158</v>
      </c>
      <c r="B2" s="14" t="s">
        <v>159</v>
      </c>
      <c r="C2" s="14" t="s">
        <v>160</v>
      </c>
      <c r="D2" s="14" t="s">
        <v>161</v>
      </c>
    </row>
    <row r="3" customFormat="false" ht="41.75" hidden="false" customHeight="false" outlineLevel="0" collapsed="false">
      <c r="A3" s="15" t="s">
        <v>84</v>
      </c>
      <c r="B3" s="15" t="s">
        <v>162</v>
      </c>
      <c r="C3" s="15" t="s">
        <v>163</v>
      </c>
      <c r="D3" s="15" t="s">
        <v>164</v>
      </c>
    </row>
    <row r="4" customFormat="false" ht="41.75" hidden="false" customHeight="false" outlineLevel="0" collapsed="false">
      <c r="A4" s="15" t="s">
        <v>35</v>
      </c>
      <c r="B4" s="15" t="s">
        <v>165</v>
      </c>
      <c r="C4" s="15" t="s">
        <v>166</v>
      </c>
      <c r="D4" s="15" t="s">
        <v>167</v>
      </c>
    </row>
    <row r="5" customFormat="false" ht="28.35" hidden="false" customHeight="false" outlineLevel="0" collapsed="false">
      <c r="A5" s="15" t="s">
        <v>27</v>
      </c>
      <c r="B5" s="15" t="s">
        <v>168</v>
      </c>
      <c r="C5" s="15" t="s">
        <v>169</v>
      </c>
      <c r="D5" s="15" t="s">
        <v>170</v>
      </c>
    </row>
    <row r="6" customFormat="false" ht="28.35" hidden="false" customHeight="false" outlineLevel="0" collapsed="false">
      <c r="A6" s="15" t="s">
        <v>76</v>
      </c>
      <c r="B6" s="15" t="s">
        <v>171</v>
      </c>
      <c r="C6" s="15" t="s">
        <v>172</v>
      </c>
      <c r="D6" s="15" t="s">
        <v>173</v>
      </c>
    </row>
    <row r="7" customFormat="false" ht="28.35" hidden="false" customHeight="false" outlineLevel="0" collapsed="false">
      <c r="A7" s="15" t="s">
        <v>64</v>
      </c>
      <c r="B7" s="15" t="s">
        <v>174</v>
      </c>
      <c r="C7" s="15" t="s">
        <v>175</v>
      </c>
      <c r="D7" s="15" t="s">
        <v>176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6" min="4" style="0" width="12"/>
  </cols>
  <sheetData>
    <row r="1" customFormat="false" ht="17.35" hidden="false" customHeight="false" outlineLevel="0" collapsed="false">
      <c r="A1" s="13" t="s">
        <v>177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14" t="s">
        <v>0</v>
      </c>
      <c r="B2" s="14" t="s">
        <v>178</v>
      </c>
      <c r="C2" s="14" t="s">
        <v>179</v>
      </c>
      <c r="D2" s="14" t="s">
        <v>180</v>
      </c>
      <c r="E2" s="14" t="s">
        <v>181</v>
      </c>
      <c r="F2" s="14" t="s">
        <v>182</v>
      </c>
    </row>
    <row r="3" customFormat="false" ht="15" hidden="false" customHeight="false" outlineLevel="0" collapsed="false">
      <c r="A3" s="16" t="s">
        <v>17</v>
      </c>
      <c r="B3" s="16" t="s">
        <v>183</v>
      </c>
      <c r="C3" s="16" t="s">
        <v>184</v>
      </c>
      <c r="D3" s="16" t="s">
        <v>185</v>
      </c>
      <c r="E3" s="16" t="s">
        <v>186</v>
      </c>
      <c r="F3" s="16" t="s">
        <v>187</v>
      </c>
    </row>
    <row r="4" customFormat="false" ht="15" hidden="false" customHeight="false" outlineLevel="0" collapsed="false">
      <c r="A4" s="16" t="s">
        <v>28</v>
      </c>
      <c r="B4" s="16" t="s">
        <v>188</v>
      </c>
      <c r="C4" s="16" t="s">
        <v>189</v>
      </c>
      <c r="D4" s="16" t="s">
        <v>190</v>
      </c>
      <c r="E4" s="16" t="s">
        <v>186</v>
      </c>
      <c r="F4" s="16" t="s">
        <v>191</v>
      </c>
    </row>
    <row r="5" customFormat="false" ht="15" hidden="false" customHeight="false" outlineLevel="0" collapsed="false">
      <c r="A5" s="16" t="s">
        <v>43</v>
      </c>
      <c r="B5" s="16" t="s">
        <v>192</v>
      </c>
      <c r="C5" s="16" t="s">
        <v>193</v>
      </c>
      <c r="D5" s="16" t="s">
        <v>194</v>
      </c>
      <c r="E5" s="16" t="s">
        <v>186</v>
      </c>
      <c r="F5" s="16" t="s">
        <v>187</v>
      </c>
    </row>
    <row r="6" customFormat="false" ht="15" hidden="false" customHeight="false" outlineLevel="0" collapsed="false">
      <c r="A6" s="16" t="s">
        <v>51</v>
      </c>
      <c r="B6" s="16" t="s">
        <v>195</v>
      </c>
      <c r="C6" s="16" t="s">
        <v>196</v>
      </c>
      <c r="D6" s="16" t="s">
        <v>197</v>
      </c>
      <c r="E6" s="16" t="s">
        <v>186</v>
      </c>
      <c r="F6" s="16" t="s">
        <v>187</v>
      </c>
    </row>
    <row r="7" customFormat="false" ht="15" hidden="false" customHeight="false" outlineLevel="0" collapsed="false">
      <c r="A7" s="16" t="s">
        <v>71</v>
      </c>
      <c r="B7" s="16" t="s">
        <v>198</v>
      </c>
      <c r="C7" s="16" t="s">
        <v>199</v>
      </c>
      <c r="D7" s="16" t="s">
        <v>200</v>
      </c>
      <c r="E7" s="16" t="s">
        <v>186</v>
      </c>
      <c r="F7" s="16" t="s">
        <v>187</v>
      </c>
    </row>
    <row r="8" customFormat="false" ht="15" hidden="false" customHeight="false" outlineLevel="0" collapsed="false">
      <c r="A8" s="16" t="s">
        <v>77</v>
      </c>
      <c r="B8" s="16" t="s">
        <v>201</v>
      </c>
      <c r="C8" s="16" t="s">
        <v>202</v>
      </c>
      <c r="D8" s="16" t="s">
        <v>203</v>
      </c>
      <c r="E8" s="16" t="s">
        <v>186</v>
      </c>
      <c r="F8" s="16" t="s">
        <v>191</v>
      </c>
    </row>
    <row r="9" customFormat="false" ht="15" hidden="false" customHeight="false" outlineLevel="0" collapsed="false">
      <c r="A9" s="16" t="s">
        <v>90</v>
      </c>
      <c r="B9" s="16" t="s">
        <v>204</v>
      </c>
      <c r="C9" s="16" t="s">
        <v>205</v>
      </c>
      <c r="D9" s="16" t="s">
        <v>205</v>
      </c>
      <c r="E9" s="16" t="s">
        <v>186</v>
      </c>
      <c r="F9" s="16" t="s">
        <v>187</v>
      </c>
    </row>
    <row r="10" customFormat="false" ht="15" hidden="false" customHeight="false" outlineLevel="0" collapsed="false">
      <c r="A10" s="16" t="s">
        <v>106</v>
      </c>
      <c r="B10" s="16" t="s">
        <v>206</v>
      </c>
      <c r="C10" s="16" t="s">
        <v>207</v>
      </c>
      <c r="D10" s="16" t="s">
        <v>208</v>
      </c>
      <c r="E10" s="16" t="s">
        <v>186</v>
      </c>
      <c r="F10" s="16" t="s">
        <v>191</v>
      </c>
    </row>
    <row r="11" customFormat="false" ht="15" hidden="false" customHeight="false" outlineLevel="0" collapsed="false">
      <c r="A11" s="16" t="s">
        <v>112</v>
      </c>
      <c r="B11" s="16" t="s">
        <v>209</v>
      </c>
      <c r="C11" s="16" t="s">
        <v>210</v>
      </c>
      <c r="D11" s="16" t="s">
        <v>211</v>
      </c>
      <c r="E11" s="16" t="s">
        <v>186</v>
      </c>
      <c r="F11" s="16" t="s">
        <v>191</v>
      </c>
    </row>
    <row r="12" customFormat="false" ht="15" hidden="false" customHeight="false" outlineLevel="0" collapsed="false">
      <c r="A12" s="16" t="s">
        <v>119</v>
      </c>
      <c r="B12" s="16" t="s">
        <v>212</v>
      </c>
      <c r="C12" s="16" t="s">
        <v>213</v>
      </c>
      <c r="D12" s="16" t="s">
        <v>214</v>
      </c>
      <c r="E12" s="16" t="s">
        <v>186</v>
      </c>
      <c r="F12" s="16" t="s">
        <v>187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2025-11-14T09:01:36Z</dcterms:created>
  <dc:creator>openpyxl</dc:creator>
  <dc:description/>
  <dc:language>en-US</dc:language>
  <cp:lastModifiedBy/>
  <dcterms:modified xsi:type="dcterms:W3CDTF">2025-11-14T09:01:36Z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